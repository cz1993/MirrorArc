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67533acec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Demand" sheetId="1" r:id="Rdc5535f94d884c98"/>
    <x:sheet xmlns:r="http://schemas.openxmlformats.org/officeDocument/2006/relationships" name="Monthly Range" sheetId="2" r:id="Rf3fb184ea72b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3B53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4FA"/>
      </x:patternFill>
    </x:fill>
    <x:fill>
      <x:patternFill patternType="solid">
        <x:fgColor rgb="FF1976A3"/>
      </x:patternFill>
    </x:fill>
  </x:fills>
  <x:borders count="2">
    <x:border/>
    <x:border>
      <x:left style="thin">
        <x:color rgb="FFCFD9E2"/>
      </x:left>
      <x:right style="thin">
        <x:color rgb="FFCFD9E2"/>
      </x:right>
      <x:top style="thin">
        <x:color rgb="FFCFD9E2"/>
      </x:top>
      <x:bottom style="thin">
        <x:color rgb="FFCFD9E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964957bfb4d9f" /><Relationship Type="http://schemas.openxmlformats.org/officeDocument/2006/relationships/theme" Target="/xl/theme/theme1.xml" Id="R35e9ce72afe148f6" /><Relationship Type="http://schemas.openxmlformats.org/officeDocument/2006/relationships/sharedStrings" Target="/xl/sharedStrings.xml" Id="Rc5a48c0275534bf9" /><Relationship Type="http://schemas.openxmlformats.org/officeDocument/2006/relationships/worksheet" Target="/xl/worksheets/sheet1.xml" Id="Rdc5535f94d884c98" /><Relationship Type="http://schemas.openxmlformats.org/officeDocument/2006/relationships/worksheet" Target="/xl/worksheets/sheet2.xml" Id="Rf3fb184ea72b41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98baa63d864bf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10fc75a086547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demand (TWh)</a:t>
            </a:r>
          </a:p>
        </c:rich>
      </c:tx>
    </c:title>
    <c:plotArea>
      <c:lineChart>
        <c:grouping val="standard"/>
        <c:ser>
          <c:idx val="0"/>
          <c:order val="0"/>
          <c:tx>
            <c:v>Total TWh</c:v>
          </c:tx>
          <c:marker>
            <c:symbol val="none"/>
          </c:marker>
          <c:cat>
            <c:strRef>
              <c:f>'Annual Demand'!$A$5:$A$11</c:f>
              <c:strCache>
                <c:ptCount val="0"/>
              </c:strCache>
            </c:strRef>
          </c:cat>
          <c:val>
            <c:numRef>
              <c:f>'Annual Demand'!$B$5:$B$11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2023 monthly demand range</a:t>
            </a:r>
          </a:p>
        </c:rich>
      </c:tx>
    </c:title>
    <c:plotArea>
      <c:lineChart>
        <c:grouping val="standard"/>
        <c:ser>
          <c:idx val="0"/>
          <c:order val="0"/>
          <c:tx>
            <c:v>Peak MW</c:v>
          </c:tx>
          <c:marker>
            <c:symbol val="none"/>
          </c:marker>
          <c:cat>
            <c:strRef>
              <c:f>'Monthly Range'!$A$5:$A$16</c:f>
              <c:strCache>
                <c:ptCount val="0"/>
              </c:strCache>
            </c:strRef>
          </c:cat>
          <c:val>
            <c:numRef>
              <c:f>'Monthly Range'!$B$5:$B$16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Minimum MW</c:v>
          </c:tx>
          <c:marker>
            <c:symbol val="none"/>
          </c:marker>
          <c:cat>
            <c:strRef>
              <c:f>'Monthly Range'!$A$5:$A$16</c:f>
              <c:strCache>
                <c:ptCount val="0"/>
              </c:strCache>
            </c:strRef>
          </c:cat>
          <c:val>
            <c:numRef>
              <c:f>'Monthly Range'!$C$5:$C$16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98baa63d864bf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0fc75a086547b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6d349554914d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e20121bae2e41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6" max="6" width="22" hidden="0" customWidth="1"/>
    <x:col min="7" max="7" width="22" hidden="0" customWidth="1"/>
  </x:cols>
  <x:sheetData>
    <x:row r="1" ht="34" customHeight="1">
      <x:c r="A1" s="3" t="str">
        <x:v>Historical Ontario demand profile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OGL-Ontario fixture values; formulas derive changes and summary metrics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Year</x:v>
      </x:c>
      <x:c r="B4" s="12" t="str">
        <x:v>Total TWh</x:v>
      </x:c>
      <x:c r="C4" s="12" t="str">
        <x:v>Source change TWh</x:v>
      </x:c>
      <x:c r="D4" s="12" t="str">
        <x:v>Calculated change TWh</x:v>
      </x:c>
      <x:c r="F4" s="12" t="str">
        <x:v>Metric</x:v>
      </x:c>
      <x:c r="G4" s="12" t="str">
        <x:v>Value</x:v>
      </x:c>
    </x:row>
    <x:row r="5">
      <x:c r="A5" s="16" t="n">
        <x:v>2017</x:v>
      </x:c>
      <x:c r="B5" s="17" t="n">
        <x:v>132.1</x:v>
      </x:c>
      <x:c r="C5" s="17" t="n">
        <x:v>-4.9</x:v>
      </x:c>
      <x:c r="D5" s="17"/>
      <x:c r="F5" s="16" t="str">
        <x:v>Latest year</x:v>
      </x:c>
      <x:c r="G5" s="16" t="n">
        <x:f>MAX(A5:A11)</x:f>
        <x:v>2023</x:v>
      </x:c>
    </x:row>
    <x:row r="6">
      <x:c r="A6" s="16" t="n">
        <x:v>2018</x:v>
      </x:c>
      <x:c r="B6" s="17" t="n">
        <x:v>137.4</x:v>
      </x:c>
      <x:c r="C6" s="17" t="n">
        <x:v>5.3</x:v>
      </x:c>
      <x:c r="D6" s="17" t="n">
        <x:f>B6-B5</x:f>
        <x:v>5.300000000000011</x:v>
      </x:c>
      <x:c r="F6" s="16" t="str">
        <x:v>Latest demand TWh</x:v>
      </x:c>
      <x:c r="G6" s="17" t="n">
        <x:f>B11</x:f>
        <x:v>137.1</x:v>
      </x:c>
    </x:row>
    <x:row r="7">
      <x:c r="A7" s="16" t="n">
        <x:v>2019</x:v>
      </x:c>
      <x:c r="B7" s="17" t="n">
        <x:v>135.1</x:v>
      </x:c>
      <x:c r="C7" s="17" t="n">
        <x:v>-2.3</x:v>
      </x:c>
      <x:c r="D7" s="17" t="n">
        <x:f>B7-B6</x:f>
        <x:v>-2.3000000000000114</x:v>
      </x:c>
      <x:c r="F7" s="16" t="str">
        <x:v>7-year average TWh</x:v>
      </x:c>
      <x:c r="G7" s="17" t="n">
        <x:f>AVERAGE(B5:B11)</x:f>
        <x:v>135.04285714285714</x:v>
      </x:c>
    </x:row>
    <x:row r="8">
      <x:c r="A8" s="16" t="n">
        <x:v>2020</x:v>
      </x:c>
      <x:c r="B8" s="17" t="n">
        <x:v>132.2</x:v>
      </x:c>
      <x:c r="C8" s="17" t="n">
        <x:v>-2.9</x:v>
      </x:c>
      <x:c r="D8" s="17" t="n">
        <x:f>B8-B7</x:f>
        <x:v>-2.9000000000000057</x:v>
      </x:c>
    </x:row>
    <x:row r="9">
      <x:c r="A9" s="16" t="n">
        <x:v>2021</x:v>
      </x:c>
      <x:c r="B9" s="17" t="n">
        <x:v>133.8</x:v>
      </x:c>
      <x:c r="C9" s="17" t="n">
        <x:v>1.6</x:v>
      </x:c>
      <x:c r="D9" s="17" t="n">
        <x:f>B9-B8</x:f>
        <x:v>1.6000000000000227</x:v>
      </x:c>
    </x:row>
    <x:row r="10">
      <x:c r="A10" s="16" t="n">
        <x:v>2022</x:v>
      </x:c>
      <x:c r="B10" s="17" t="n">
        <x:v>137.6</x:v>
      </x:c>
      <x:c r="C10" s="17" t="n">
        <x:v>3.8</x:v>
      </x:c>
      <x:c r="D10" s="17" t="n">
        <x:f>B10-B9</x:f>
        <x:v>3.799999999999983</x:v>
      </x:c>
    </x:row>
    <x:row r="11">
      <x:c r="A11" s="16" t="n">
        <x:v>2023</x:v>
      </x:c>
      <x:c r="B11" s="17" t="n">
        <x:v>137.1</x:v>
      </x:c>
      <x:c r="C11" s="17" t="n">
        <x:v>-0.5</x:v>
      </x:c>
      <x:c r="D11" s="17" t="n">
        <x:f>B11-B10</x:f>
        <x:v>-0.5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06d349554914d5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6" max="6" width="21" hidden="0" customWidth="1"/>
    <x:col min="7" max="7" width="21" hidden="0" customWidth="1"/>
  </x:cols>
  <x:sheetData>
    <x:row r="1" ht="34" customHeight="1">
      <x:c r="A1" s="3" t="str">
        <x:v>Monthly peak-to-minimum range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2023 OGL-Ontario values with a formula-derived spread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Month</x:v>
      </x:c>
      <x:c r="B4" s="12" t="str">
        <x:v>Peak MW</x:v>
      </x:c>
      <x:c r="C4" s="12" t="str">
        <x:v>Minimum MW</x:v>
      </x:c>
      <x:c r="D4" s="12" t="str">
        <x:v>Range MW</x:v>
      </x:c>
      <x:c r="F4" s="12" t="str">
        <x:v>Metric</x:v>
      </x:c>
      <x:c r="G4" s="12" t="str">
        <x:v>Value</x:v>
      </x:c>
    </x:row>
    <x:row r="5">
      <x:c r="A5" s="16" t="str">
        <x:v>January</x:v>
      </x:c>
      <x:c r="B5" s="18" t="n">
        <x:v>20486</x:v>
      </x:c>
      <x:c r="C5" s="18" t="n">
        <x:v>12603</x:v>
      </x:c>
      <x:c r="D5" s="18" t="n">
        <x:f>B5-C5</x:f>
        <x:v>7883</x:v>
      </x:c>
      <x:c r="F5" s="16" t="str">
        <x:v>Max peak MW</x:v>
      </x:c>
      <x:c r="G5" s="18" t="n">
        <x:f>MAX(B5:B16)</x:f>
        <x:v>23713</x:v>
      </x:c>
    </x:row>
    <x:row r="6">
      <x:c r="A6" s="16" t="str">
        <x:v>February</x:v>
      </x:c>
      <x:c r="B6" s="18" t="n">
        <x:v>21388</x:v>
      </x:c>
      <x:c r="C6" s="18" t="n">
        <x:v>12990</x:v>
      </x:c>
      <x:c r="D6" s="18" t="n">
        <x:f>B6-C6</x:f>
        <x:v>8398</x:v>
      </x:c>
      <x:c r="F6" s="16" t="str">
        <x:v>Widest range MW</x:v>
      </x:c>
      <x:c r="G6" s="18" t="n">
        <x:f>MAX(D5:D16)</x:f>
        <x:v>12311</x:v>
      </x:c>
    </x:row>
    <x:row r="7">
      <x:c r="A7" s="16" t="str">
        <x:v>March</x:v>
      </x:c>
      <x:c r="B7" s="18" t="n">
        <x:v>18811</x:v>
      </x:c>
      <x:c r="C7" s="18" t="n">
        <x:v>12940</x:v>
      </x:c>
      <x:c r="D7" s="18" t="n">
        <x:f>B7-C7</x:f>
        <x:v>5871</x:v>
      </x:c>
    </x:row>
    <x:row r="8">
      <x:c r="A8" s="16" t="str">
        <x:v>April</x:v>
      </x:c>
      <x:c r="B8" s="18" t="n">
        <x:v>17547</x:v>
      </x:c>
      <x:c r="C8" s="18" t="n">
        <x:v>11117</x:v>
      </x:c>
      <x:c r="D8" s="18" t="n">
        <x:f>B8-C8</x:f>
        <x:v>6430</x:v>
      </x:c>
    </x:row>
    <x:row r="9">
      <x:c r="A9" s="16" t="str">
        <x:v>May</x:v>
      </x:c>
      <x:c r="B9" s="18" t="n">
        <x:v>20787</x:v>
      </x:c>
      <x:c r="C9" s="18" t="n">
        <x:v>10859</x:v>
      </x:c>
      <x:c r="D9" s="18" t="n">
        <x:f>B9-C9</x:f>
        <x:v>9928</x:v>
      </x:c>
    </x:row>
    <x:row r="10">
      <x:c r="A10" s="16" t="str">
        <x:v>June</x:v>
      </x:c>
      <x:c r="B10" s="18" t="n">
        <x:v>21463</x:v>
      </x:c>
      <x:c r="C10" s="18" t="n">
        <x:v>11438</x:v>
      </x:c>
      <x:c r="D10" s="18" t="n">
        <x:f>B10-C10</x:f>
        <x:v>10025</x:v>
      </x:c>
    </x:row>
    <x:row r="11">
      <x:c r="A11" s="16" t="str">
        <x:v>July</x:v>
      </x:c>
      <x:c r="B11" s="18" t="n">
        <x:v>22686</x:v>
      </x:c>
      <x:c r="C11" s="18" t="n">
        <x:v>11987</x:v>
      </x:c>
      <x:c r="D11" s="18" t="n">
        <x:f>B11-C11</x:f>
        <x:v>10699</x:v>
      </x:c>
    </x:row>
    <x:row r="12">
      <x:c r="A12" s="16" t="str">
        <x:v>August</x:v>
      </x:c>
      <x:c r="B12" s="18" t="n">
        <x:v>21364</x:v>
      </x:c>
      <x:c r="C12" s="18" t="n">
        <x:v>11629</x:v>
      </x:c>
      <x:c r="D12" s="18" t="n">
        <x:f>B12-C12</x:f>
        <x:v>9735</x:v>
      </x:c>
    </x:row>
    <x:row r="13">
      <x:c r="A13" s="16" t="str">
        <x:v>September</x:v>
      </x:c>
      <x:c r="B13" s="18" t="n">
        <x:v>23713</x:v>
      </x:c>
      <x:c r="C13" s="18" t="n">
        <x:v>11402</x:v>
      </x:c>
      <x:c r="D13" s="18" t="n">
        <x:f>B13-C13</x:f>
        <x:v>12311</x:v>
      </x:c>
    </x:row>
    <x:row r="14">
      <x:c r="A14" s="16" t="str">
        <x:v>October</x:v>
      </x:c>
      <x:c r="B14" s="18" t="n">
        <x:v>20849</x:v>
      </x:c>
      <x:c r="C14" s="18" t="n">
        <x:v>11260</x:v>
      </x:c>
      <x:c r="D14" s="18" t="n">
        <x:f>B14-C14</x:f>
        <x:v>9589</x:v>
      </x:c>
    </x:row>
    <x:row r="15">
      <x:c r="A15" s="16" t="str">
        <x:v>November</x:v>
      </x:c>
      <x:c r="B15" s="18" t="n">
        <x:v>20579</x:v>
      </x:c>
      <x:c r="C15" s="18" t="n">
        <x:v>12555</x:v>
      </x:c>
      <x:c r="D15" s="18" t="n">
        <x:f>B15-C15</x:f>
        <x:v>8024</x:v>
      </x:c>
    </x:row>
    <x:row r="16">
      <x:c r="A16" s="16" t="str">
        <x:v>December</x:v>
      </x:c>
      <x:c r="B16" s="18" t="n">
        <x:v>20004</x:v>
      </x:c>
      <x:c r="C16" s="18" t="n">
        <x:v>12029</x:v>
      </x:c>
      <x:c r="D16" s="18" t="n">
        <x:f>B16-C16</x:f>
        <x:v>7975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e20121bae2e4179"/>
</x:worksheet>
</file>