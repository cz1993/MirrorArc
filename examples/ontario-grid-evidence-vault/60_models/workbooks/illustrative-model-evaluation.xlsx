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5a2065e42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" sheetId="1" r:id="R80325de1122e45b9"/>
    <x:sheet xmlns:r="http://schemas.openxmlformats.org/officeDocument/2006/relationships" name="Publication Gate" sheetId="2" r:id="R5b7b43e2896f40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b/>
      <x:sz val="20"/>
      <x:color rgb="FFFFFFFF"/>
      <x:name val="Carlito"/>
    </x:font>
    <x:font>
      <x:i/>
      <x:sz val="10"/>
      <x:color rgb="FF243B53"/>
      <x:name val="Carlito"/>
    </x:font>
    <x:font>
      <x:b/>
      <x:sz val="11"/>
      <x:color rgb="FFFFFFFF"/>
      <x:name val="Carlito"/>
    </x:font>
    <x:font>
      <x:sz val="11"/>
      <x:color rgb="FF243B5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8F4FA"/>
      </x:patternFill>
    </x:fill>
    <x:fill>
      <x:patternFill patternType="solid">
        <x:fgColor rgb="FF1976A3"/>
      </x:patternFill>
    </x:fill>
  </x:fills>
  <x:borders count="2">
    <x:border/>
    <x:border>
      <x:left style="thin">
        <x:color rgb="FFCFD9E2"/>
      </x:left>
      <x:right style="thin">
        <x:color rgb="FFCFD9E2"/>
      </x:right>
      <x:top style="thin">
        <x:color rgb="FFCFD9E2"/>
      </x:top>
      <x:bottom style="thin">
        <x:color rgb="FFCFD9E2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4d31178ff48a6" /><Relationship Type="http://schemas.openxmlformats.org/officeDocument/2006/relationships/theme" Target="/xl/theme/theme1.xml" Id="R7b6aaeb5faac4156" /><Relationship Type="http://schemas.openxmlformats.org/officeDocument/2006/relationships/sharedStrings" Target="/xl/sharedStrings.xml" Id="Rb4cc65c8a43b4b44" /><Relationship Type="http://schemas.openxmlformats.org/officeDocument/2006/relationships/worksheet" Target="/xl/worksheets/sheet1.xml" Id="R80325de1122e45b9" /><Relationship Type="http://schemas.openxmlformats.org/officeDocument/2006/relationships/worksheet" Target="/xl/worksheets/sheet2.xml" Id="R5b7b43e2896f40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065995bd5c45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Synthetic observed vs predicted</a:t>
            </a:r>
          </a:p>
        </c:rich>
      </c:tx>
    </c:title>
    <c:plotArea>
      <c:lineChart>
        <c:grouping val="standard"/>
        <c:ser>
          <c:idx val="0"/>
          <c:order val="0"/>
          <c:tx>
            <c:v>Observed MW</c:v>
          </c:tx>
          <c:marker>
            <c:symbol val="none"/>
          </c:marker>
          <c:cat>
            <c:strRef>
              <c:f>'Evaluation'!$A$5:$A$16</c:f>
              <c:strCache>
                <c:ptCount val="0"/>
              </c:strCache>
            </c:strRef>
          </c:cat>
          <c:val>
            <c:numRef>
              <c:f>'Evaluation'!$B$5:$B$16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Predicted MW</c:v>
          </c:tx>
          <c:marker>
            <c:symbol val="none"/>
          </c:marker>
          <c:cat>
            <c:strRef>
              <c:f>'Evaluation'!$A$5:$A$16</c:f>
              <c:strCache>
                <c:ptCount val="0"/>
              </c:strCache>
            </c:strRef>
          </c:cat>
          <c:val>
            <c:numRef>
              <c:f>'Evaluation'!$C$5:$C$16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065995bd5c459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1b36a0a66b641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3" t="str">
        <x:v>Illustrative model evaluation</x:v>
      </x:c>
      <x:c r="B1" s="3"/>
      <x:c r="C1" s="3"/>
      <x:c r="D1" s="3"/>
      <x:c r="E1" s="3"/>
      <x:c r="F1" s="3"/>
      <x:c r="G1" s="3"/>
    </x:row>
    <x:row r="2" ht="28" customHeight="1">
      <x:c r="A2" s="7" t="str">
        <x:v>Entirely synthetic monthly values; formulas calculate error and MAPE</x:v>
      </x:c>
      <x:c r="B2" s="7"/>
      <x:c r="C2" s="7"/>
      <x:c r="D2" s="7"/>
      <x:c r="E2" s="7"/>
      <x:c r="F2" s="7"/>
      <x:c r="G2" s="7"/>
    </x:row>
    <x:row r="4">
      <x:c r="A4" s="12" t="str">
        <x:v>Month</x:v>
      </x:c>
      <x:c r="B4" s="12" t="str">
        <x:v>Observed MW</x:v>
      </x:c>
      <x:c r="C4" s="12" t="str">
        <x:v>Predicted MW</x:v>
      </x:c>
      <x:c r="D4" s="12" t="str">
        <x:v>Absolute error</x:v>
      </x:c>
      <x:c r="E4" s="12" t="str">
        <x:v>Absolute % error</x:v>
      </x:c>
      <x:c r="F4" s="12" t="str">
        <x:v>Synthetic</x:v>
      </x:c>
      <x:c r="G4" s="12" t="str">
        <x:v>Publishable</x:v>
      </x:c>
    </x:row>
    <x:row r="5">
      <x:c r="A5" s="16" t="str">
        <x:v>Jan</x:v>
      </x:c>
      <x:c r="B5" s="17" t="n">
        <x:v>20000</x:v>
      </x:c>
      <x:c r="C5" s="17" t="n">
        <x:v>18360</x:v>
      </x:c>
      <x:c r="D5" s="17" t="n">
        <x:f>ABS(B5-C5)</x:f>
        <x:v>1640</x:v>
      </x:c>
      <x:c r="E5" s="18" t="n">
        <x:f>D5/B5</x:f>
        <x:v>0.082</x:v>
      </x:c>
      <x:c r="F5" s="16" t="str">
        <x:v>yes</x:v>
      </x:c>
      <x:c r="G5" s="16" t="str">
        <x:f>IF(AVERAGE($E$5:$E$16)&lt;='Publication Gate'!$B$5,"yes","no")</x:f>
        <x:v>no</x:v>
      </x:c>
    </x:row>
    <x:row r="6">
      <x:c r="A6" s="16" t="str">
        <x:v>Feb</x:v>
      </x:c>
      <x:c r="B6" s="17" t="n">
        <x:v>19500</x:v>
      </x:c>
      <x:c r="C6" s="17" t="n">
        <x:v>20950</x:v>
      </x:c>
      <x:c r="D6" s="17" t="n">
        <x:f>ABS(B6-C6)</x:f>
        <x:v>1450</x:v>
      </x:c>
      <x:c r="E6" s="18" t="n">
        <x:f>D6/B6</x:f>
        <x:v>0.07435897435897436</x:v>
      </x:c>
      <x:c r="F6" s="16" t="str">
        <x:v>yes</x:v>
      </x:c>
      <x:c r="G6" s="16" t="str">
        <x:f>IF(AVERAGE($E$5:$E$16)&lt;='Publication Gate'!$B$5,"yes","no")</x:f>
        <x:v>no</x:v>
      </x:c>
    </x:row>
    <x:row r="7">
      <x:c r="A7" s="16" t="str">
        <x:v>Mar</x:v>
      </x:c>
      <x:c r="B7" s="17" t="n">
        <x:v>18800</x:v>
      </x:c>
      <x:c r="C7" s="17" t="n">
        <x:v>17450</x:v>
      </x:c>
      <x:c r="D7" s="17" t="n">
        <x:f>ABS(B7-C7)</x:f>
        <x:v>1350</x:v>
      </x:c>
      <x:c r="E7" s="18" t="n">
        <x:f>D7/B7</x:f>
        <x:v>0.07180851063829788</x:v>
      </x:c>
      <x:c r="F7" s="16" t="str">
        <x:v>yes</x:v>
      </x:c>
      <x:c r="G7" s="16" t="str">
        <x:f>IF(AVERAGE($E$5:$E$16)&lt;='Publication Gate'!$B$5,"yes","no")</x:f>
        <x:v>no</x:v>
      </x:c>
    </x:row>
    <x:row r="8">
      <x:c r="A8" s="16" t="str">
        <x:v>Apr</x:v>
      </x:c>
      <x:c r="B8" s="17" t="n">
        <x:v>18100</x:v>
      </x:c>
      <x:c r="C8" s="17" t="n">
        <x:v>19550</x:v>
      </x:c>
      <x:c r="D8" s="17" t="n">
        <x:f>ABS(B8-C8)</x:f>
        <x:v>1450</x:v>
      </x:c>
      <x:c r="E8" s="18" t="n">
        <x:f>D8/B8</x:f>
        <x:v>0.08011049723756906</x:v>
      </x:c>
      <x:c r="F8" s="16" t="str">
        <x:v>yes</x:v>
      </x:c>
      <x:c r="G8" s="16" t="str">
        <x:f>IF(AVERAGE($E$5:$E$16)&lt;='Publication Gate'!$B$5,"yes","no")</x:f>
        <x:v>no</x:v>
      </x:c>
    </x:row>
    <x:row r="9">
      <x:c r="A9" s="16" t="str">
        <x:v>May</x:v>
      </x:c>
      <x:c r="B9" s="17" t="n">
        <x:v>20500</x:v>
      </x:c>
      <x:c r="C9" s="17" t="n">
        <x:v>18760</x:v>
      </x:c>
      <x:c r="D9" s="17" t="n">
        <x:f>ABS(B9-C9)</x:f>
        <x:v>1740</x:v>
      </x:c>
      <x:c r="E9" s="18" t="n">
        <x:f>D9/B9</x:f>
        <x:v>0.08487804878048781</x:v>
      </x:c>
      <x:c r="F9" s="16" t="str">
        <x:v>yes</x:v>
      </x:c>
      <x:c r="G9" s="16" t="str">
        <x:f>IF(AVERAGE($E$5:$E$16)&lt;='Publication Gate'!$B$5,"yes","no")</x:f>
        <x:v>no</x:v>
      </x:c>
    </x:row>
    <x:row r="10">
      <x:c r="A10" s="16" t="str">
        <x:v>Jun</x:v>
      </x:c>
      <x:c r="B10" s="17" t="n">
        <x:v>21400</x:v>
      </x:c>
      <x:c r="C10" s="17" t="n">
        <x:v>23040</x:v>
      </x:c>
      <x:c r="D10" s="17" t="n">
        <x:f>ABS(B10-C10)</x:f>
        <x:v>1640</x:v>
      </x:c>
      <x:c r="E10" s="18" t="n">
        <x:f>D10/B10</x:f>
        <x:v>0.07663551401869159</x:v>
      </x:c>
      <x:c r="F10" s="16" t="str">
        <x:v>yes</x:v>
      </x:c>
      <x:c r="G10" s="16" t="str">
        <x:f>IF(AVERAGE($E$5:$E$16)&lt;='Publication Gate'!$B$5,"yes","no")</x:f>
        <x:v>no</x:v>
      </x:c>
    </x:row>
    <x:row r="11">
      <x:c r="A11" s="16" t="str">
        <x:v>Jul</x:v>
      </x:c>
      <x:c r="B11" s="17" t="n">
        <x:v>22600</x:v>
      </x:c>
      <x:c r="C11" s="17" t="n">
        <x:v>20770</x:v>
      </x:c>
      <x:c r="D11" s="17" t="n">
        <x:f>ABS(B11-C11)</x:f>
        <x:v>1830</x:v>
      </x:c>
      <x:c r="E11" s="18" t="n">
        <x:f>D11/B11</x:f>
        <x:v>0.08097345132743362</x:v>
      </x:c>
      <x:c r="F11" s="16" t="str">
        <x:v>yes</x:v>
      </x:c>
      <x:c r="G11" s="16" t="str">
        <x:f>IF(AVERAGE($E$5:$E$16)&lt;='Publication Gate'!$B$5,"yes","no")</x:f>
        <x:v>no</x:v>
      </x:c>
    </x:row>
    <x:row r="12">
      <x:c r="A12" s="16" t="str">
        <x:v>Aug</x:v>
      </x:c>
      <x:c r="B12" s="17" t="n">
        <x:v>21800</x:v>
      </x:c>
      <x:c r="C12" s="17" t="n">
        <x:v>23440</x:v>
      </x:c>
      <x:c r="D12" s="17" t="n">
        <x:f>ABS(B12-C12)</x:f>
        <x:v>1640</x:v>
      </x:c>
      <x:c r="E12" s="18" t="n">
        <x:f>D12/B12</x:f>
        <x:v>0.07522935779816514</x:v>
      </x:c>
      <x:c r="F12" s="16" t="str">
        <x:v>yes</x:v>
      </x:c>
      <x:c r="G12" s="16" t="str">
        <x:f>IF(AVERAGE($E$5:$E$16)&lt;='Publication Gate'!$B$5,"yes","no")</x:f>
        <x:v>no</x:v>
      </x:c>
    </x:row>
    <x:row r="13">
      <x:c r="A13" s="16" t="str">
        <x:v>Sep</x:v>
      </x:c>
      <x:c r="B13" s="17" t="n">
        <x:v>23700</x:v>
      </x:c>
      <x:c r="C13" s="17" t="n">
        <x:v>21960</x:v>
      </x:c>
      <x:c r="D13" s="17" t="n">
        <x:f>ABS(B13-C13)</x:f>
        <x:v>1740</x:v>
      </x:c>
      <x:c r="E13" s="18" t="n">
        <x:f>D13/B13</x:f>
        <x:v>0.07341772151898734</x:v>
      </x:c>
      <x:c r="F13" s="16" t="str">
        <x:v>yes</x:v>
      </x:c>
      <x:c r="G13" s="16" t="str">
        <x:f>IF(AVERAGE($E$5:$E$16)&lt;='Publication Gate'!$B$5,"yes","no")</x:f>
        <x:v>no</x:v>
      </x:c>
    </x:row>
    <x:row r="14">
      <x:c r="A14" s="16" t="str">
        <x:v>Oct</x:v>
      </x:c>
      <x:c r="B14" s="17" t="n">
        <x:v>20900</x:v>
      </x:c>
      <x:c r="C14" s="17" t="n">
        <x:v>22440</x:v>
      </x:c>
      <x:c r="D14" s="17" t="n">
        <x:f>ABS(B14-C14)</x:f>
        <x:v>1540</x:v>
      </x:c>
      <x:c r="E14" s="18" t="n">
        <x:f>D14/B14</x:f>
        <x:v>0.07368421052631578</x:v>
      </x:c>
      <x:c r="F14" s="16" t="str">
        <x:v>yes</x:v>
      </x:c>
      <x:c r="G14" s="16" t="str">
        <x:f>IF(AVERAGE($E$5:$E$16)&lt;='Publication Gate'!$B$5,"yes","no")</x:f>
        <x:v>no</x:v>
      </x:c>
    </x:row>
    <x:row r="15">
      <x:c r="A15" s="16" t="str">
        <x:v>Nov</x:v>
      </x:c>
      <x:c r="B15" s="17" t="n">
        <x:v>20600</x:v>
      </x:c>
      <x:c r="C15" s="17" t="n">
        <x:v>19060</x:v>
      </x:c>
      <x:c r="D15" s="17" t="n">
        <x:f>ABS(B15-C15)</x:f>
        <x:v>1540</x:v>
      </x:c>
      <x:c r="E15" s="18" t="n">
        <x:f>D15/B15</x:f>
        <x:v>0.07475728155339806</x:v>
      </x:c>
      <x:c r="F15" s="16" t="str">
        <x:v>yes</x:v>
      </x:c>
      <x:c r="G15" s="16" t="str">
        <x:f>IF(AVERAGE($E$5:$E$16)&lt;='Publication Gate'!$B$5,"yes","no")</x:f>
        <x:v>no</x:v>
      </x:c>
    </x:row>
    <x:row r="16">
      <x:c r="A16" s="16" t="str">
        <x:v>Dec</x:v>
      </x:c>
      <x:c r="B16" s="17" t="n">
        <x:v>20100</x:v>
      </x:c>
      <x:c r="C16" s="17" t="n">
        <x:v>21640</x:v>
      </x:c>
      <x:c r="D16" s="17" t="n">
        <x:f>ABS(B16-C16)</x:f>
        <x:v>1540</x:v>
      </x:c>
      <x:c r="E16" s="18" t="n">
        <x:f>D16/B16</x:f>
        <x:v>0.07661691542288557</x:v>
      </x:c>
      <x:c r="F16" s="16" t="str">
        <x:v>yes</x:v>
      </x:c>
      <x:c r="G16" s="16" t="str">
        <x:f>IF(AVERAGE($E$5:$E$16)&lt;='Publication Gate'!$B$5,"yes","no")</x:f>
        <x:v>no</x:v>
      </x:c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a1b36a0a66b6417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6" hidden="0" customWidth="1"/>
  </x:cols>
  <x:sheetData>
    <x:row r="1" ht="34" customHeight="1">
      <x:c r="A1" s="3" t="str">
        <x:v>Forecast publication gate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A failing synthetic evaluation remains visible but is not publishable</x:v>
      </x:c>
      <x:c r="B2" s="7"/>
      <x:c r="C2" s="7"/>
      <x:c r="D2" s="7"/>
      <x:c r="E2" s="7"/>
      <x:c r="F2" s="7"/>
      <x:c r="G2" s="7"/>
      <x:c r="H2" s="7"/>
    </x:row>
    <x:row r="4">
      <x:c r="A4" s="12" t="str">
        <x:v>Metric</x:v>
      </x:c>
      <x:c r="B4" s="12" t="str">
        <x:v>Value</x:v>
      </x:c>
    </x:row>
    <x:row r="5">
      <x:c r="A5" s="16" t="str">
        <x:v>MAPE threshold</x:v>
      </x:c>
      <x:c r="B5" s="18" t="n">
        <x:v>0.05</x:v>
      </x:c>
    </x:row>
    <x:row r="6">
      <x:c r="A6" s="16" t="str">
        <x:v>Evaluation MAPE</x:v>
      </x:c>
      <x:c r="B6" s="18" t="n">
        <x:f>AVERAGE(Evaluation!E5:E16)</x:f>
        <x:v>0.07703920693176719</x:v>
      </x:c>
    </x:row>
    <x:row r="7">
      <x:c r="A7" s="16" t="str">
        <x:v>Gate passed</x:v>
      </x:c>
      <x:c r="B7" s="16" t="b">
        <x:f>B6&lt;=B5</x:f>
        <x:v>0</x:v>
      </x:c>
    </x:row>
    <x:row r="8">
      <x:c r="A8" s="16" t="str">
        <x:v>Publication state</x:v>
      </x:c>
      <x:c r="B8" s="16" t="str">
        <x:f>IF(B7,"publishable","suppressed")</x:f>
        <x:v>suppressed</x:v>
      </x:c>
    </x:row>
    <x:row r="9">
      <x:c r="A9" s="16" t="str">
        <x:v>Use boundary</x:v>
      </x:c>
      <x:c r="B9" s="16" t="str">
        <x:v>Demo only; no live forecast or alert</x:v>
      </x:c>
    </x:row>
  </x:sheetData>
  <x:mergeCells>
    <x:mergeCell ref="A1:H1"/>
    <x:mergeCell ref="A2:H2"/>
  </x:mergeCells>
  <x:pageMargins left="0.7" right="0.7" top="0.75" bottom="0.75" header="0.3" footer="0.3"/>
</x:worksheet>
</file>