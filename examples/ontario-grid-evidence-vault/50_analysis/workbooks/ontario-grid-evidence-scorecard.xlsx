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2fbc22ad3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Scorecard" sheetId="1" r:id="Rc8d60b31722445d3"/>
    <x:sheet xmlns:r="http://schemas.openxmlformats.org/officeDocument/2006/relationships" name="Controls" sheetId="2" r:id="R3e7573d784a6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3B53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4FA"/>
      </x:patternFill>
    </x:fill>
    <x:fill>
      <x:patternFill patternType="solid">
        <x:fgColor rgb="FF1976A3"/>
      </x:patternFill>
    </x:fill>
  </x:fills>
  <x:borders count="2">
    <x:border/>
    <x:border>
      <x:left style="thin">
        <x:color rgb="FFCFD9E2"/>
      </x:left>
      <x:right style="thin">
        <x:color rgb="FFCFD9E2"/>
      </x:right>
      <x:top style="thin">
        <x:color rgb="FFCFD9E2"/>
      </x:top>
      <x:bottom style="thin">
        <x:color rgb="FFCFD9E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ffdd7138a491b" /><Relationship Type="http://schemas.openxmlformats.org/officeDocument/2006/relationships/theme" Target="/xl/theme/theme1.xml" Id="R837b67ae8be04280" /><Relationship Type="http://schemas.openxmlformats.org/officeDocument/2006/relationships/sharedStrings" Target="/xl/sharedStrings.xml" Id="Radd671615be94b13" /><Relationship Type="http://schemas.openxmlformats.org/officeDocument/2006/relationships/worksheet" Target="/xl/worksheets/sheet1.xml" Id="Rc8d60b31722445d3" /><Relationship Type="http://schemas.openxmlformats.org/officeDocument/2006/relationships/worksheet" Target="/xl/worksheets/sheet2.xml" Id="R3e7573d784a640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648edf45a543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Evidence readiness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'Evidence Scorecard'!$K$5:$K$7</c:f>
              <c:strCache>
                <c:ptCount val="0"/>
              </c:strCache>
            </c:strRef>
          </c:cat>
          <c:val>
            <c:numRef>
              <c:f>'Evidence Scorecard'!$L$5:$L$7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8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648edf45a543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f5bef8577d43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4" customHeight="1">
      <x:c r="A1" s="3" t="str">
        <x:v>Ontario grid evidence scorecard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Editable evidence states drive formula-based readiness and review callouts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2" t="str">
        <x:v>Evidence item</x:v>
      </x:c>
      <x:c r="B4" s="12" t="str">
        <x:v>Type</x:v>
      </x:c>
      <x:c r="C4" s="12" t="str">
        <x:v>Licensed</x:v>
      </x:c>
      <x:c r="D4" s="12" t="str">
        <x:v>Fresh</x:v>
      </x:c>
      <x:c r="E4" s="12" t="str">
        <x:v>Contracted</x:v>
      </x:c>
      <x:c r="F4" s="12" t="str">
        <x:v>Mirrored</x:v>
      </x:c>
      <x:c r="G4" s="12" t="str">
        <x:v>Reviewed</x:v>
      </x:c>
      <x:c r="H4" s="12" t="str">
        <x:v>Score</x:v>
      </x:c>
      <x:c r="I4" s="12" t="str">
        <x:v>State</x:v>
      </x:c>
      <x:c r="K4" s="12" t="str">
        <x:v>State</x:v>
      </x:c>
      <x:c r="L4" s="12" t="str">
        <x:v>Count</x:v>
      </x:c>
    </x:row>
    <x:row r="5">
      <x:c r="A5" s="16" t="str">
        <x:v>Annual demand series</x:v>
      </x:c>
      <x:c r="B5" s="16" t="str">
        <x:v>OGL CSV</x:v>
      </x:c>
      <x:c r="C5" s="17" t="n">
        <x:v>1</x:v>
      </x:c>
      <x:c r="D5" s="17" t="n">
        <x:v>1</x:v>
      </x:c>
      <x:c r="E5" s="17" t="n">
        <x:v>1</x:v>
      </x:c>
      <x:c r="F5" s="17" t="n">
        <x:v>0</x:v>
      </x:c>
      <x:c r="G5" s="17" t="n">
        <x:v>1</x:v>
      </x:c>
      <x:c r="H5" s="17" t="n">
        <x:f>SUM(C5:G5)</x:f>
        <x:v>4</x:v>
      </x:c>
      <x:c r="I5" s="16" t="str">
        <x:f>IF(H5=5,"Ready",IF(H5&gt;=3,"Review","Blocked"))</x:f>
        <x:v>Review</x:v>
      </x:c>
      <x:c r="K5" s="16" t="str">
        <x:v>Ready</x:v>
      </x:c>
      <x:c r="L5" s="16" t="n">
        <x:f>COUNTIF(I5:I12,K5)</x:f>
        <x:v>2</x:v>
      </x:c>
    </x:row>
    <x:row r="6">
      <x:c r="A6" s="16" t="str">
        <x:v>Monthly demand ranges</x:v>
      </x:c>
      <x:c r="B6" s="16" t="str">
        <x:v>OGL CSV</x:v>
      </x:c>
      <x:c r="C6" s="17" t="n">
        <x:v>1</x:v>
      </x:c>
      <x:c r="D6" s="17" t="n">
        <x:v>1</x:v>
      </x:c>
      <x:c r="E6" s="17" t="n">
        <x:v>1</x:v>
      </x:c>
      <x:c r="F6" s="17" t="n">
        <x:v>0</x:v>
      </x:c>
      <x:c r="G6" s="17" t="n">
        <x:v>1</x:v>
      </x:c>
      <x:c r="H6" s="17" t="n">
        <x:f>SUM(C6:G6)</x:f>
        <x:v>4</x:v>
      </x:c>
      <x:c r="I6" s="16" t="str">
        <x:f>IF(H6=5,"Ready",IF(H6&gt;=3,"Review","Blocked"))</x:f>
        <x:v>Review</x:v>
      </x:c>
      <x:c r="K6" s="16" t="str">
        <x:v>Review</x:v>
      </x:c>
      <x:c r="L6" s="16" t="n">
        <x:f>COUNTIF(I5:I12,K6)</x:f>
        <x:v>6</x:v>
      </x:c>
    </x:row>
    <x:row r="7">
      <x:c r="A7" s="16" t="str">
        <x:v>Generation mix series</x:v>
      </x:c>
      <x:c r="B7" s="16" t="str">
        <x:v>OGL CSV</x:v>
      </x:c>
      <x:c r="C7" s="17" t="n">
        <x:v>1</x:v>
      </x:c>
      <x:c r="D7" s="17" t="n">
        <x:v>1</x:v>
      </x:c>
      <x:c r="E7" s="17" t="n">
        <x:v>1</x:v>
      </x:c>
      <x:c r="F7" s="17" t="n">
        <x:v>0</x:v>
      </x:c>
      <x:c r="G7" s="17" t="n">
        <x:v>1</x:v>
      </x:c>
      <x:c r="H7" s="17" t="n">
        <x:f>SUM(C7:G7)</x:f>
        <x:v>4</x:v>
      </x:c>
      <x:c r="I7" s="16" t="str">
        <x:f>IF(H7=5,"Ready",IF(H7&gt;=3,"Review","Blocked"))</x:f>
        <x:v>Review</x:v>
      </x:c>
      <x:c r="K7" s="16" t="str">
        <x:v>Blocked</x:v>
      </x:c>
      <x:c r="L7" s="16" t="n">
        <x:f>COUNTIF(I5:I12,K7)</x:f>
        <x:v>0</x:v>
      </x:c>
    </x:row>
    <x:row r="8">
      <x:c r="A8" s="16" t="str">
        <x:v>Intertie flow series</x:v>
      </x:c>
      <x:c r="B8" s="16" t="str">
        <x:v>OGL CSV</x:v>
      </x:c>
      <x:c r="C8" s="17" t="n">
        <x:v>1</x:v>
      </x:c>
      <x:c r="D8" s="17" t="n">
        <x:v>1</x:v>
      </x:c>
      <x:c r="E8" s="17" t="n">
        <x:v>1</x:v>
      </x:c>
      <x:c r="F8" s="17" t="n">
        <x:v>0</x:v>
      </x:c>
      <x:c r="G8" s="17" t="n">
        <x:v>1</x:v>
      </x:c>
      <x:c r="H8" s="17" t="n">
        <x:f>SUM(C8:G8)</x:f>
        <x:v>4</x:v>
      </x:c>
      <x:c r="I8" s="16" t="str">
        <x:f>IF(H8=5,"Ready",IF(H8&gt;=3,"Review","Blocked"))</x:f>
        <x:v>Review</x:v>
      </x:c>
    </x:row>
    <x:row r="9">
      <x:c r="A9" s="16" t="str">
        <x:v>Electricity emissions</x:v>
      </x:c>
      <x:c r="B9" s="16" t="str">
        <x:v>OGL CSV</x:v>
      </x:c>
      <x:c r="C9" s="17" t="n">
        <x:v>1</x:v>
      </x:c>
      <x:c r="D9" s="17" t="n">
        <x:v>1</x:v>
      </x:c>
      <x:c r="E9" s="17" t="n">
        <x:v>1</x:v>
      </x:c>
      <x:c r="F9" s="17" t="n">
        <x:v>0</x:v>
      </x:c>
      <x:c r="G9" s="17" t="n">
        <x:v>1</x:v>
      </x:c>
      <x:c r="H9" s="17" t="n">
        <x:f>SUM(C9:G9)</x:f>
        <x:v>4</x:v>
      </x:c>
      <x:c r="I9" s="16" t="str">
        <x:f>IF(H9=5,"Ready",IF(H9&gt;=3,"Review","Blocked"))</x:f>
        <x:v>Review</x:v>
      </x:c>
    </x:row>
    <x:row r="10">
      <x:c r="A10" s="16" t="str">
        <x:v>Source assessment brief</x:v>
      </x:c>
      <x:c r="B10" s="16" t="str">
        <x:v>DOCX</x:v>
      </x:c>
      <x:c r="C10" s="17" t="n">
        <x:v>1</x:v>
      </x:c>
      <x:c r="D10" s="17" t="n">
        <x:v>1</x:v>
      </x:c>
      <x:c r="E10" s="17" t="n">
        <x:v>1</x:v>
      </x:c>
      <x:c r="F10" s="17" t="n">
        <x:v>1</x:v>
      </x:c>
      <x:c r="G10" s="17" t="n">
        <x:v>1</x:v>
      </x:c>
      <x:c r="H10" s="17" t="n">
        <x:f>SUM(C10:G10)</x:f>
        <x:v>5</x:v>
      </x:c>
      <x:c r="I10" s="16" t="str">
        <x:f>IF(H10=5,"Ready",IF(H10&gt;=3,"Review","Blocked"))</x:f>
        <x:v>Ready</x:v>
      </x:c>
    </x:row>
    <x:row r="11">
      <x:c r="A11" s="16" t="str">
        <x:v>Stakeholder briefing</x:v>
      </x:c>
      <x:c r="B11" s="16" t="str">
        <x:v>PPTX</x:v>
      </x:c>
      <x:c r="C11" s="17" t="n">
        <x:v>1</x:v>
      </x:c>
      <x:c r="D11" s="17" t="n">
        <x:v>1</x:v>
      </x:c>
      <x:c r="E11" s="17" t="n">
        <x:v>1</x:v>
      </x:c>
      <x:c r="F11" s="17" t="n">
        <x:v>1</x:v>
      </x:c>
      <x:c r="G11" s="17" t="n">
        <x:v>1</x:v>
      </x:c>
      <x:c r="H11" s="17" t="n">
        <x:f>SUM(C11:G11)</x:f>
        <x:v>5</x:v>
      </x:c>
      <x:c r="I11" s="16" t="str">
        <x:f>IF(H11=5,"Ready",IF(H11&gt;=3,"Review","Blocked"))</x:f>
        <x:v>Ready</x:v>
      </x:c>
    </x:row>
    <x:row r="12">
      <x:c r="A12" s="16" t="str">
        <x:v>Illustrative model</x:v>
      </x:c>
      <x:c r="B12" s="16" t="str">
        <x:v>synthetic</x:v>
      </x:c>
      <x:c r="C12" s="17" t="n">
        <x:v>1</x:v>
      </x:c>
      <x:c r="D12" s="17" t="n">
        <x:v>1</x:v>
      </x:c>
      <x:c r="E12" s="17" t="n">
        <x:v>1</x:v>
      </x:c>
      <x:c r="F12" s="17" t="n">
        <x:v>1</x:v>
      </x:c>
      <x:c r="G12" s="17" t="n">
        <x:v>0</x:v>
      </x:c>
      <x:c r="H12" s="17" t="n">
        <x:f>SUM(C12:G12)</x:f>
        <x:v>4</x:v>
      </x:c>
      <x:c r="I12" s="16" t="str">
        <x:f>IF(H12=5,"Ready",IF(H12&gt;=3,"Review","Blocked"))</x:f>
        <x:v>Review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6ff5bef8577d43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8" hidden="0" customWidth="1"/>
  </x:cols>
  <x:sheetData>
    <x:row r="1" ht="34" customHeight="1">
      <x:c r="A1" s="3" t="str">
        <x:v>Scoring controls</x:v>
      </x:c>
      <x:c r="B1" s="3"/>
      <x:c r="C1" s="3"/>
      <x:c r="D1" s="3"/>
      <x:c r="E1" s="3"/>
      <x:c r="F1" s="3"/>
    </x:row>
    <x:row r="2" ht="28" customHeight="1">
      <x:c r="A2" s="7" t="str">
        <x:v>One point per satisfied control; all five are required for Ready</x:v>
      </x:c>
      <x:c r="B2" s="7"/>
      <x:c r="C2" s="7"/>
      <x:c r="D2" s="7"/>
      <x:c r="E2" s="7"/>
      <x:c r="F2" s="7"/>
    </x:row>
    <x:row r="4">
      <x:c r="A4" s="12" t="str">
        <x:v>Control</x:v>
      </x:c>
      <x:c r="B4" s="12" t="str">
        <x:v>Value</x:v>
      </x:c>
      <x:c r="C4" s="12" t="str">
        <x:v>Meaning</x:v>
      </x:c>
    </x:row>
    <x:row r="5">
      <x:c r="A5" s="16" t="str">
        <x:v>Licensed</x:v>
      </x:c>
      <x:c r="B5" s="16" t="n">
        <x:v>1</x:v>
      </x:c>
      <x:c r="C5" s="16" t="str">
        <x:v>Use boundary is documented</x:v>
      </x:c>
    </x:row>
    <x:row r="6">
      <x:c r="A6" s="16" t="str">
        <x:v>Fresh</x:v>
      </x:c>
      <x:c r="B6" s="16" t="n">
        <x:v>1</x:v>
      </x:c>
      <x:c r="C6" s="16" t="str">
        <x:v>Snapshot or URL was checked</x:v>
      </x:c>
    </x:row>
    <x:row r="7">
      <x:c r="A7" s="16" t="str">
        <x:v>Contracted</x:v>
      </x:c>
      <x:c r="B7" s="16" t="n">
        <x:v>1</x:v>
      </x:c>
      <x:c r="C7" s="16" t="str">
        <x:v>Schema/semantics are explicit</x:v>
      </x:c>
    </x:row>
    <x:row r="8">
      <x:c r="A8" s="16" t="str">
        <x:v>Mirrored</x:v>
      </x:c>
      <x:c r="B8" s="16" t="n">
        <x:v>1</x:v>
      </x:c>
      <x:c r="C8" s="16" t="str">
        <x:v>Opaque source has a generated mirror where applicable</x:v>
      </x:c>
    </x:row>
    <x:row r="9">
      <x:c r="A9" s="16" t="str">
        <x:v>Reviewed</x:v>
      </x:c>
      <x:c r="B9" s="16" t="n">
        <x:v>1</x:v>
      </x:c>
      <x:c r="C9" s="16" t="str">
        <x:v>Curated interpretation was checked</x:v>
      </x:c>
    </x:row>
  </x:sheetData>
  <x:mergeCells>
    <x:mergeCell ref="A1:F1"/>
    <x:mergeCell ref="A2:F2"/>
  </x:mergeCells>
  <x:pageMargins left="0.7" right="0.7" top="0.75" bottom="0.75" header="0.3" footer="0.3"/>
</x:worksheet>
</file>