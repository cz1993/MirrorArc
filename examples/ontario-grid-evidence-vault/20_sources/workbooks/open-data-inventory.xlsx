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f0a226ba9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Inventory" sheetId="1" r:id="Rc3db10ec2e684837"/>
    <x:sheet xmlns:r="http://schemas.openxmlformats.org/officeDocument/2006/relationships" name="Summary" sheetId="2" r:id="R8229b21e0c10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3B53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4FA"/>
      </x:patternFill>
    </x:fill>
    <x:fill>
      <x:patternFill patternType="solid">
        <x:fgColor rgb="FF1976A3"/>
      </x:patternFill>
    </x:fill>
  </x:fills>
  <x:borders count="2">
    <x:border/>
    <x:border>
      <x:left style="thin">
        <x:color rgb="FFCFD9E2"/>
      </x:left>
      <x:right style="thin">
        <x:color rgb="FFCFD9E2"/>
      </x:right>
      <x:top style="thin">
        <x:color rgb="FFCFD9E2"/>
      </x:top>
      <x:bottom style="thin">
        <x:color rgb="FFCFD9E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bfd9e1c1d42cf" /><Relationship Type="http://schemas.openxmlformats.org/officeDocument/2006/relationships/theme" Target="/xl/theme/theme1.xml" Id="R948cbaba6e4c4d21" /><Relationship Type="http://schemas.openxmlformats.org/officeDocument/2006/relationships/sharedStrings" Target="/xl/sharedStrings.xml" Id="Rbaba28f4f4764916" /><Relationship Type="http://schemas.openxmlformats.org/officeDocument/2006/relationships/worksheet" Target="/xl/worksheets/sheet1.xml" Id="Rc3db10ec2e684837" /><Relationship Type="http://schemas.openxmlformats.org/officeDocument/2006/relationships/worksheet" Target="/xl/worksheets/sheet2.xml" Id="R8229b21e0c10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ce1439b24a4f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Evidence treatment by mode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ce1439b24a4f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7ad3d9894a43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3" t="str">
        <x:v>Ontario grid source inventory</x:v>
      </x:c>
      <x:c r="B1" s="3"/>
      <x:c r="C1" s="3"/>
      <x:c r="D1" s="3"/>
      <x:c r="E1" s="3"/>
      <x:c r="F1" s="3"/>
      <x:c r="G1" s="3"/>
    </x:row>
    <x:row r="2" ht="28" customHeight="1">
      <x:c r="A2" s="7" t="str">
        <x:v>Public, authored, synthetic, and reference-only evidence boundaries</x:v>
      </x:c>
      <x:c r="B2" s="7"/>
      <x:c r="C2" s="7"/>
      <x:c r="D2" s="7"/>
      <x:c r="E2" s="7"/>
      <x:c r="F2" s="7"/>
      <x:c r="G2" s="7"/>
    </x:row>
    <x:row r="4" ht="32" customHeight="1">
      <x:c r="A4" s="12" t="str">
        <x:v>Source</x:v>
      </x:c>
      <x:c r="B4" s="12" t="str">
        <x:v>Authority</x:v>
      </x:c>
      <x:c r="C4" s="12" t="str">
        <x:v>Mode</x:v>
      </x:c>
      <x:c r="D4" s="12" t="str">
        <x:v>License status</x:v>
      </x:c>
      <x:c r="E4" s="12" t="str">
        <x:v>Coverage</x:v>
      </x:c>
      <x:c r="F4" s="12" t="str">
        <x:v>Local body</x:v>
      </x:c>
      <x:c r="G4" s="12" t="str">
        <x:v>Review state</x:v>
      </x:c>
    </x:row>
    <x:row r="5" ht="32" customHeight="1">
      <x:c r="A5" s="16" t="str">
        <x:v>Ontario Energy Report 2023</x:v>
      </x:c>
      <x:c r="B5" s="16" t="str">
        <x:v>Ontario Data Catalogue</x:v>
      </x:c>
      <x:c r="C5" s="16" t="str">
        <x:v>committed snapshot</x:v>
      </x:c>
      <x:c r="D5" s="16" t="str">
        <x:v>OGL-Ontario</x:v>
      </x:c>
      <x:c r="E5" s="16" t="str">
        <x:v>2023 and historical</x:v>
      </x:c>
      <x:c r="F5" s="16" t="str">
        <x:v>yes</x:v>
      </x:c>
      <x:c r="G5" s="16" t="str">
        <x:v>verified</x:v>
      </x:c>
    </x:row>
    <x:row r="6" ht="32" customHeight="1">
      <x:c r="A6" s="16" t="str">
        <x:v>OEB open data directory</x:v>
      </x:c>
      <x:c r="B6" s="16" t="str">
        <x:v>Ontario Energy Board</x:v>
      </x:c>
      <x:c r="C6" s="16" t="str">
        <x:v>metadata-only</x:v>
      </x:c>
      <x:c r="D6" s="16" t="str">
        <x:v>dataset-specific check</x:v>
      </x:c>
      <x:c r="E6" s="16" t="str">
        <x:v>current URL</x:v>
      </x:c>
      <x:c r="F6" s="16" t="str">
        <x:v>no</x:v>
      </x:c>
      <x:c r="G6" s="16" t="str">
        <x:v>candidate</x:v>
      </x:c>
    </x:row>
    <x:row r="7" ht="32" customHeight="1">
      <x:c r="A7" s="16" t="str">
        <x:v>IESO Data Directory</x:v>
      </x:c>
      <x:c r="B7" s="16" t="str">
        <x:v>IESO</x:v>
      </x:c>
      <x:c r="C7" s="16" t="str">
        <x:v>metadata-only</x:v>
      </x:c>
      <x:c r="D7" s="16" t="str">
        <x:v>reference-only</x:v>
      </x:c>
      <x:c r="E7" s="16" t="str">
        <x:v>current URL</x:v>
      </x:c>
      <x:c r="F7" s="16" t="str">
        <x:v>no</x:v>
      </x:c>
      <x:c r="G7" s="16" t="str">
        <x:v>verified boundary</x:v>
      </x:c>
    </x:row>
    <x:row r="8" ht="32" customHeight="1">
      <x:c r="A8" s="16" t="str">
        <x:v>IESO Annual Planning Outlook</x:v>
      </x:c>
      <x:c r="B8" s="16" t="str">
        <x:v>IESO</x:v>
      </x:c>
      <x:c r="C8" s="16" t="str">
        <x:v>metadata-only</x:v>
      </x:c>
      <x:c r="D8" s="16" t="str">
        <x:v>reference-only</x:v>
      </x:c>
      <x:c r="E8" s="16" t="str">
        <x:v>current URL</x:v>
      </x:c>
      <x:c r="F8" s="16" t="str">
        <x:v>no</x:v>
      </x:c>
      <x:c r="G8" s="16" t="str">
        <x:v>verified boundary</x:v>
      </x:c>
    </x:row>
    <x:row r="9" ht="32" customHeight="1">
      <x:c r="A9" s="16" t="str">
        <x:v>Authored evidence briefs</x:v>
      </x:c>
      <x:c r="B9" s="16" t="str">
        <x:v>MirrorArc Example</x:v>
      </x:c>
      <x:c r="C9" s="16" t="str">
        <x:v>committed source</x:v>
      </x:c>
      <x:c r="D9" s="16" t="str">
        <x:v>repository license</x:v>
      </x:c>
      <x:c r="E9" s="16" t="str">
        <x:v>demo snapshot</x:v>
      </x:c>
      <x:c r="F9" s="16" t="str">
        <x:v>yes</x:v>
      </x:c>
      <x:c r="G9" s="16" t="str">
        <x:v>verified</x:v>
      </x:c>
    </x:row>
    <x:row r="10" ht="32" customHeight="1">
      <x:c r="A10" s="16" t="str">
        <x:v>Synthetic model evaluation</x:v>
      </x:c>
      <x:c r="B10" s="16" t="str">
        <x:v>MirrorArc Example</x:v>
      </x:c>
      <x:c r="C10" s="16" t="str">
        <x:v>committed source</x:v>
      </x:c>
      <x:c r="D10" s="16" t="str">
        <x:v>repository license</x:v>
      </x:c>
      <x:c r="E10" s="16" t="str">
        <x:v>illustrative</x:v>
      </x:c>
      <x:c r="F10" s="16" t="str">
        <x:v>yes</x:v>
      </x:c>
      <x:c r="G10" s="16" t="str">
        <x:v>suppressed</x:v>
      </x:c>
    </x:row>
    <x:row r="11" ht="32" customHeight="1">
      <x:c r="A11" s="16" t="str">
        <x:v>Clean-room pipeline fixture</x:v>
      </x:c>
      <x:c r="B11" s="16" t="str">
        <x:v>MirrorArc Example</x:v>
      </x:c>
      <x:c r="C11" s="16" t="str">
        <x:v>committed source</x:v>
      </x:c>
      <x:c r="D11" s="16" t="str">
        <x:v>MIT</x:v>
      </x:c>
      <x:c r="E11" s="16" t="str">
        <x:v>demo snapshot</x:v>
      </x:c>
      <x:c r="F11" s="16" t="str">
        <x:v>yes</x:v>
      </x:c>
      <x:c r="G11" s="16" t="str">
        <x:v>verified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3" t="str">
        <x:v>Source boundary summary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Formula-driven counts from the editable inventory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Metric</x:v>
      </x:c>
      <x:c r="B4" s="12" t="str">
        <x:v>Value</x:v>
      </x:c>
    </x:row>
    <x:row r="5">
      <x:c r="A5" s="16" t="str">
        <x:v>Registered sources</x:v>
      </x:c>
      <x:c r="B5" s="16" t="n">
        <x:f>COUNTA('Source Inventory'!A5:A11)</x:f>
        <x:v>7</x:v>
      </x:c>
    </x:row>
    <x:row r="6">
      <x:c r="A6" s="16" t="str">
        <x:v>Committed bodies</x:v>
      </x:c>
      <x:c r="B6" s="16" t="n">
        <x:f>COUNTIF('Source Inventory'!F5:F11,"yes")</x:f>
        <x:v>4</x:v>
      </x:c>
    </x:row>
    <x:row r="7">
      <x:c r="A7" s="16" t="str">
        <x:v>Metadata-only references</x:v>
      </x:c>
      <x:c r="B7" s="16" t="n">
        <x:f>COUNTIF('Source Inventory'!C5:C11,"metadata-only")</x:f>
        <x:v>3</x:v>
      </x:c>
    </x:row>
    <x:row r="8">
      <x:c r="A8" s="16" t="str">
        <x:v>Suppressed items</x:v>
      </x:c>
      <x:c r="B8" s="16" t="n">
        <x:f>COUNTIF('Source Inventory'!G5:G11,"suppressed")</x:f>
        <x:v>1</x:v>
      </x:c>
    </x:row>
    <x:row r="10">
      <x:c r="A10" s="12" t="str">
        <x:v>Mode</x:v>
      </x:c>
      <x:c r="B10" s="12" t="str">
        <x:v>Count</x:v>
      </x:c>
    </x:row>
    <x:row r="11">
      <x:c r="A11" s="16" t="str">
        <x:v>committed snapshot</x:v>
      </x:c>
      <x:c r="B11" s="16" t="n">
        <x:f>COUNTIF('Source Inventory'!C5:C11,A11)</x:f>
        <x:v>1</x:v>
      </x:c>
    </x:row>
    <x:row r="12">
      <x:c r="A12" s="16" t="str">
        <x:v>committed source</x:v>
      </x:c>
      <x:c r="B12" s="16" t="n">
        <x:f>COUNTIF('Source Inventory'!C5:C11,A12)</x:f>
        <x:v>3</x:v>
      </x:c>
    </x:row>
    <x:row r="13">
      <x:c r="A13" s="16" t="str">
        <x:v>metadata-only</x:v>
      </x:c>
      <x:c r="B13" s="16" t="n">
        <x:f>COUNTIF('Source Inventory'!C5:C11,A13)</x:f>
        <x:v>3</x:v>
      </x:c>
    </x:row>
    <x:row r="14">
      <x:c r="A14" s="16" t="str">
        <x:v>other</x:v>
      </x:c>
      <x:c r="B14" s="16" t="n">
        <x:f>B5-SUM(B11:B13)</x:f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77ad3d9894a43b2"/>
</x:worksheet>
</file>